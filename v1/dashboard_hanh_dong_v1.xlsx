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AI20K\Day26_Track01_UniPilot\v1\"/>
    </mc:Choice>
  </mc:AlternateContent>
  <xr:revisionPtr revIDLastSave="0" documentId="13_ncr:1_{2A2ADC8B-C989-4563-B73D-FB361BE3477E}" xr6:coauthVersionLast="47" xr6:coauthVersionMax="47" xr10:uidLastSave="{00000000-0000-0000-0000-000000000000}"/>
  <bookViews>
    <workbookView xWindow="2196" yWindow="0" windowWidth="18660" windowHeight="10488" xr2:uid="{00000000-000D-0000-FFFF-FFFF00000000}"/>
  </bookViews>
  <sheets>
    <sheet name="1_Pham_vi" sheetId="1" r:id="rId1"/>
    <sheet name="2_Chan_doan" sheetId="2" r:id="rId2"/>
    <sheet name="3_Bang_chung" sheetId="3" r:id="rId3"/>
    <sheet name="4_ASIS_TOBE" sheetId="4" r:id="rId4"/>
    <sheet name="5_Lo_trinh_30_60_90" sheetId="5" r:id="rId5"/>
    <sheet name="Dashboard" sheetId="6" r:id="rId6"/>
    <sheet name="8_Kiem_tra"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2" i="7" l="1"/>
  <c r="B11" i="7"/>
  <c r="B10" i="7"/>
  <c r="B9" i="7"/>
  <c r="B8" i="7"/>
  <c r="B7" i="7"/>
  <c r="B6" i="7"/>
  <c r="B5" i="7"/>
  <c r="B4"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Nhóm</author>
  </authors>
  <commentList>
    <comment ref="G5" authorId="0" shapeId="0" xr:uid="{00000000-0006-0000-0500-000001000000}">
      <text>
        <r>
          <rPr>
            <sz val="11"/>
            <color theme="1"/>
            <rFont val="Calibri"/>
            <family val="2"/>
            <scheme val="minor"/>
          </rPr>
          <t>Nguồn số eval: docs/agent_handoff/entries/20260926T030547Z_rag-pipeline_uet-evaluation-kpi.md (repo P-127). Các ô 'Đo tuần 1' là số phải thu thập từ log, không phải giả định.</t>
        </r>
      </text>
    </comment>
  </commentList>
</comments>
</file>

<file path=xl/sharedStrings.xml><?xml version="1.0" encoding="utf-8"?>
<sst xmlns="http://schemas.openxmlformats.org/spreadsheetml/2006/main" count="368" uniqueCount="310">
  <si>
    <t>Dashboard Hành Động áp dụng AI — UniPilot (P-127) · v1 — trước phản biện</t>
  </si>
  <si>
    <t>Lab Day26 Track01 · Ngày lập: 14/10/2026 · Dữ liệu lấy từ repo P-127; ô 'Đo tuần 1' là số cần thu thập, không phải số giả định.</t>
  </si>
  <si>
    <t>Hạng mục</t>
  </si>
  <si>
    <t>Nội dung</t>
  </si>
  <si>
    <t>Sản phẩm AI</t>
  </si>
  <si>
    <t>UniPilot (mã dự án P-127) — Trợ lý AI tuyển sinh: chat RAG có trích nguồn, chuyển giao cán bộ (Live Inbox), quản trị tri thức. Pilot tại 1 trường: ĐH Công nghệ – ĐHQGHN (tenant uet-vnu).</t>
  </si>
  <si>
    <t>Nhóm người dùng chính</t>
  </si>
  <si>
    <t>Cán bộ tư vấn tuyển sinh UET — người trực Live Inbox và chịu trách nhiệm câu trả lời cuối cùng mà thí sinh nhận được. (Thí sinh/phụ huynh là người hưởng lợi, không phải người phải đổi cách làm.)</t>
  </si>
  <si>
    <t>Quy trình 1 (WF1)</t>
  </si>
  <si>
    <t>Trả lời câu hỏi tuyển sinh lặp lại: điểm chuẩn, quy đổi IELTS, học phí, học bổng.</t>
  </si>
  <si>
    <t>Quy trình 2 (WF2)</t>
  </si>
  <si>
    <t>Chuyển giao ca khó: AI chuyển ticket (LOW_CONFIDENCE / SENSITIVE / REQUESTED) → cán bộ tiếp nhận → trả lời → trả lại cho AI.</t>
  </si>
  <si>
    <t>Quy trình 3 (WF3)</t>
  </si>
  <si>
    <t>Cập nhật tri thức khi trường ban hành văn bản mới: nạp tài liệu → đề xuất Hỏi–Đáp → duyệt → lưu trữ bản cũ.</t>
  </si>
  <si>
    <t>Vấn đề quan sát / đo được</t>
  </si>
  <si>
    <t>UniPilot đã được triển khai đủ tính năng nhưng chưa thể trở thành bước trả lời chính thức của Ban tuyển sinh: chưa ai chứng minh được câu trả lời nào đúng và còn hiệu lực (0/11 kịch bản kiểm thử đã chạy; eval 20 câu có đáp án chỉ trả lời được 55%; 2 lỗi số liệu nguồn chỉ được phát hiện qua sửa code). Dashboard hiện tại chỉ đếm tỷ lệ AI trả lời, token và chi phí.</t>
  </si>
  <si>
    <t>Phạm vi trong 1 câu</t>
  </si>
  <si>
    <t>UniPilot × cán bộ tư vấn tuyển sinh UET × 3 quy trình (trả lời lặp lại · chuyển giao · cập nhật tri thức) — vì sao AI chưa thành một bước đáng tin trong quy trình tư vấn.</t>
  </si>
  <si>
    <t>Ngoài phạm vi</t>
  </si>
  <si>
    <t>Mở rộng sang trường khác (QHI…), cổng Platform Admin, tối ưu chi phí LLM, giao diện landing page.</t>
  </si>
  <si>
    <t>Nguyên nhân gốc đã chốt</t>
  </si>
  <si>
    <t>Mã</t>
  </si>
  <si>
    <t>Nguyên nhân gốc</t>
  </si>
  <si>
    <t>Framework</t>
  </si>
  <si>
    <t>Bằng chứng</t>
  </si>
  <si>
    <t>NN1</t>
  </si>
  <si>
    <t>Chuỗi tin cậy bị đứt ở hai đầu: (a) nguồn dữ liệu không có người phụ trách và lịch cập nhật; (b) đầu ra không có QA mẫu, không có kênh báo sai. Hệ quả: không ai chứng minh được câu trả lời đúng &amp; còn hiệu lực → Ban tuyển sinh không dám để AI là bước trả lời chính thức.</t>
  </si>
  <si>
    <t>Gartner-Lite (Readiness – Dữ liệu, Governance THIẾU; Absorption THIẾU) + ADKAR (Desire NGHẼN)</t>
  </si>
  <si>
    <t>E1, E2, E3, E4, E5, E8</t>
  </si>
  <si>
    <t>NN2</t>
  </si>
  <si>
    <t>Chưa thiết kế lại phân chia việc người–AI: không có ma trận 'chủ đề nào AI tự động / AI nháp – người duyệt / người giữ quyền', không có owner cho chất lượng câu trả lời; bàn giao người↔AI vừa phải sửa nhiều lần.</t>
  </si>
  <si>
    <t>Mollick (3 vùng chưa được định nghĩa) + ADKAR (Awareness NGHẼN)</t>
  </si>
  <si>
    <t>E6, E7, E9</t>
  </si>
  <si>
    <t>Chẩn đoán — 5 câu hỏi · Gartner-Lite · Mollick · ADKAR</t>
  </si>
  <si>
    <t>A. Năm câu hỏi mở đầu</t>
  </si>
  <si>
    <t>Trục</t>
  </si>
  <si>
    <t>Câu hỏi</t>
  </si>
  <si>
    <t>Nhận định cho UniPilot</t>
  </si>
  <si>
    <t>Mức</t>
  </si>
  <si>
    <t>01 Workflow</t>
  </si>
  <si>
    <t>AI có nằm trong công việc thật không?</t>
  </si>
  <si>
    <t>AI trả lời thẳng thí sinh nhưng KHÔNG có bước cán bộ kiểm chứng; chưa có quy định loại câu hỏi nào AI được tự trả lời, loại nào phải người duyệt. Ngưỡng chuyển người là ngưỡng kỹ thuật (similarity &lt; 0.75), không theo mức rủi ro nghiệp vụ.</t>
  </si>
  <si>
    <t>GỐC → NN2</t>
  </si>
  <si>
    <t>E6, E7</t>
  </si>
  <si>
    <t>02 Con người</t>
  </si>
  <si>
    <t>Người dùng thiếu động lực, kiến thức hay khả năng?</t>
  </si>
  <si>
    <t>Thiếu động lực (Desire): sai số tiền/điều kiện xét tuyển có thể thành khiếu nại pháp lý (PRD §1.1) mà cán bộ không có cách biết AI đúng hay sai. Không phải chủ yếu do thiếu đào tạo.</t>
  </si>
  <si>
    <t>Liên quan (hệ quả của NN1, NN2)</t>
  </si>
  <si>
    <t>E3, E8</t>
  </si>
  <si>
    <t>03 Sẵn sàng</t>
  </si>
  <si>
    <t>Dữ liệu, quyền truy cập, governance đã đủ chưa?</t>
  </si>
  <si>
    <t>Có RBAC 4 vai trò, audit log, kill-switch. Nhưng 0/5 tệp nguồn ghi người phụ trách &amp; lịch cập nhật; bảng học phí từng 'do người dùng cung cấp, chưa ghi năm/văn bản nguồn', hiện lấy từ báo VnExpress, phủ 17/20 ngành.</t>
  </si>
  <si>
    <t>GỐC → NN1</t>
  </si>
  <si>
    <t>E3, E4</t>
  </si>
  <si>
    <t>04 Tin cậy</t>
  </si>
  <si>
    <t>AI sai thì phát hiện, kiểm tra, xử lý thế nào?</t>
  </si>
  <si>
    <t>Có grounding, guardrail chặn cam kết đỗ, trích nguồn [S1]. Nhưng: không QA mẫu trên hội thoại thật, không có nút báo sai cho từng câu trả lời, eval chưa chạy đủ; lỗi học phí &amp; bảng IELTS lẫn năm chỉ lộ ra khi dev sửa code.</t>
  </si>
  <si>
    <t>E1, E2, E4, E5</t>
  </si>
  <si>
    <t>05 Đo lường</t>
  </si>
  <si>
    <t>Đang đo activity hay giá trị?</t>
  </si>
  <si>
    <t>Admin dashboard: tỷ lệ AI trả lời, 'giảm tải cán bộ' (= câu AI trả lời / tổng câu), token, chi phí, cache hit. Không có chỉ số đúng/sai, không có thời gian xử lý của cán bộ.</t>
  </si>
  <si>
    <t>Liên quan</t>
  </si>
  <si>
    <t>E5</t>
  </si>
  <si>
    <t>B. Gartner-Lite — tổ chức đã sẵn sàng chưa? (dùng cho READINESS)</t>
  </si>
  <si>
    <t>Nhận định</t>
  </si>
  <si>
    <t>Kết quả</t>
  </si>
  <si>
    <t>Direction</t>
  </si>
  <si>
    <t>Hướng đi</t>
  </si>
  <si>
    <t>PRD v3 nêu rõ: giảm ≥60% việc thủ công mùa cao điểm, pilot 1 trường, 4 vai trò.</t>
  </si>
  <si>
    <t>ĐẠT</t>
  </si>
  <si>
    <t>PRD v3 §1.3</t>
  </si>
  <si>
    <t>Readiness</t>
  </si>
  <si>
    <t>Dữ liệu</t>
  </si>
  <si>
    <t>0/5 tệp nguồn có người phụ trách &amp; lịch cập nhật; học phí lấy từ báo, phủ 17/20 ngành; bảng IELTS từng không ghi năm.</t>
  </si>
  <si>
    <t>THIẾU</t>
  </si>
  <si>
    <t>Governance</t>
  </si>
  <si>
    <t>Có RBAC, audit log, kill-switch toàn hệ thống. Thiếu: quy định chủ đề nào AI được tự trả lời; ai duyệt nguồn trước khi nạp.</t>
  </si>
  <si>
    <t>MỘT PHẦN</t>
  </si>
  <si>
    <t>PRD v3 §2, E7</t>
  </si>
  <si>
    <t>Kỹ năng &amp; ngân sách</t>
  </si>
  <si>
    <t>Đội kỹ thuật đủ; chi phí LLM được theo dõi theo model. Cán bộ chưa có hướng dẫn quy trình mới.</t>
  </si>
  <si>
    <t>Absorption</t>
  </si>
  <si>
    <t>Vận hành (owner)</t>
  </si>
  <si>
    <t>Chưa có owner chất lượng câu trả lời; eval chưa chạy định kỳ (0/11 kịch bản; benchmark 75 câu chưa chạy đủ).</t>
  </si>
  <si>
    <t>E1, E2, E3</t>
  </si>
  <si>
    <t>Học từ lỗi</t>
  </si>
  <si>
    <t>Có kênh cán bộ 'đề xuất Hỏi–Đáp' nhưng không có báo sai gắn với từng câu trả lời; lỗi số liệu chỉ được phát hiện qua commit sửa code.</t>
  </si>
  <si>
    <t>E4, E5</t>
  </si>
  <si>
    <t>Kết luận</t>
  </si>
  <si>
    <t>Direction ĐẠT, Readiness &amp; Absorption THIẾU → giữ pilot 1 trường, sửa readiness trước; CHƯA mở rộng sang tenant khác.</t>
  </si>
  <si>
    <t>—</t>
  </si>
  <si>
    <t>C. Mollick — chia việc người–AI theo chủ đề câu hỏi (dùng cho CHIA VIỆC)</t>
  </si>
  <si>
    <t>Vùng</t>
  </si>
  <si>
    <t>Nguyên tắc</t>
  </si>
  <si>
    <t>Chủ đề / tác vụ trong UniPilot</t>
  </si>
  <si>
    <t>Ai chịu trách nhiệm / điều kiện</t>
  </si>
  <si>
    <t>Hiện trạng</t>
  </si>
  <si>
    <t>Người giữ quyền</t>
  </si>
  <si>
    <t>Giữ quyền quyết định</t>
  </si>
  <si>
    <t>Khiếu nại/phúc khảo; hoàn cảnh đặc biệt, miễn giảm học phí; mọi cam kết trúng tuyển/học bổng; ngoại lệ hồ sơ; duyệt thay đổi điểm thí sinh; phê duyệt văn bản nguồn mới trước khi nạp.</t>
  </si>
  <si>
    <t>Cán bộ tư vấn / Trưởng ban tuyển sinh</t>
  </si>
  <si>
    <t>Hiện: SENSITIVE được chuyển người (đúng); duyệt nguồn chưa có người.</t>
  </si>
  <si>
    <t>AI hỗ trợ – người kiểm</t>
  </si>
  <si>
    <t>AI làm nháp, người kiểm trước khi gửi</t>
  </si>
  <si>
    <t>Học phí theo năm học; mức &amp; điều kiện học bổng; quy đổi IELTS &amp; điểm cộng; ước lượng khả năng trúng tuyển cá nhân; tóm tắt hội thoại khi chuyển giao; nháp đề xuất Hỏi–Đáp.</t>
  </si>
  <si>
    <t>AI soạn → cán bộ duyệt trong Inbox (giai đoạn 31–60). Chuyển sang tự động theo từng chủ đề khi QA đúng ≥95%.</t>
  </si>
  <si>
    <t>Hiện: AI trả lời thẳng các chủ đề này, không ai kiểm.</t>
  </si>
  <si>
    <t>AI tự động (có kiểm soát)</t>
  </si>
  <si>
    <t>Chỉ tác vụ lặp lại, rủi ro thấp, có tiêu chí kiểm</t>
  </si>
  <si>
    <t>Điểm chuẩn lịch sử 2023–2026 tra từ bảng; danh mục ngành, tổ hợp; hướng dẫn dùng hệ thống; lịch &amp; thủ tục chung đã công bố.</t>
  </si>
  <si>
    <t>Điều kiện: bắt buộc nguồn + năm áp dụng; QA mẫu hằng tuần; thiếu nguồn → tự chuyển người.</t>
  </si>
  <si>
    <t>Hiện: đúng vùng, nhưng chưa có QA mẫu.</t>
  </si>
  <si>
    <t>D. ADKAR — cán bộ tư vấn đang kẹt ở đâu? (dùng cho NGƯỜI DÙNG)</t>
  </si>
  <si>
    <t>Bước</t>
  </si>
  <si>
    <t>Trạng thái</t>
  </si>
  <si>
    <t>Giải pháp đúng điểm nghẽn</t>
  </si>
  <si>
    <t>Awareness</t>
  </si>
  <si>
    <t>Cán bộ không có tài liệu nói loại câu nào AI xử lý thay mình, loại nào phải giữ lại.</t>
  </si>
  <si>
    <t>NGHẼN</t>
  </si>
  <si>
    <t>Công bố ma trận chủ đề (Mollick) + quy trình 1 trang.</t>
  </si>
  <si>
    <t>Desire</t>
  </si>
  <si>
    <t>Ngại để AI trả lời vì sai số tiền/điều kiện có thể thành khiếu nại, mà không có bằng chứng chất lượng. Đào tạo KHÔNG gỡ được nút này.</t>
  </si>
  <si>
    <t>Hiển thị nguồn + năm áp dụng; công bố kết quả QA mẫu hằng tuần; quy định rõ trách nhiệm khi AI trả lời đúng nguồn.</t>
  </si>
  <si>
    <t>Knowledge</t>
  </si>
  <si>
    <t>Chưa biết đọc trích nguồn, duyệt nháp, báo sai.</t>
  </si>
  <si>
    <t>Cần làm</t>
  </si>
  <si>
    <t>Hướng dẫn 45 phút gắn với ca trực thật.</t>
  </si>
  <si>
    <t>Ability</t>
  </si>
  <si>
    <t>Luồng hủy chuyển giao vừa sửa 5 commit ngày 11/10 → cần làm thử trước khi giao ca thật.</t>
  </si>
  <si>
    <t>1 tuần đi kèm (shadow) với người dẫn dắt.</t>
  </si>
  <si>
    <t>Reinforcement</t>
  </si>
  <si>
    <t>Dashboard không phản ánh chất lượng; cán bộ báo lỗi không thấy kết quả.</t>
  </si>
  <si>
    <t>Báo cáo tuần: lỗi đã sửa từ báo cáo của cán bộ; chỉ số QA mẫu trên dashboard.</t>
  </si>
  <si>
    <t>Bằng chứng cho chẩn đoán</t>
  </si>
  <si>
    <t>Mọi dòng có thể kiểm tra lại trong repo P-127 hoặc nguồn công khai. E10 là kế hoạch, chưa có kết quả.</t>
  </si>
  <si>
    <t>Loại</t>
  </si>
  <si>
    <t>Nơi lấy</t>
  </si>
  <si>
    <t>Ủng hộ</t>
  </si>
  <si>
    <t>E1</t>
  </si>
  <si>
    <t>Log eval</t>
  </si>
  <si>
    <t>Lần eval 26/09/2026 trên 24 câu (20 có đáp án, 4 thiếu dữ liệu): tỷ lệ trả lời 11/20 = 55%; đúng 11/11 câu đã trả lời; từ chối đúng 0/4 (do lỗi provider, không phải từ chối vì thiếu bằng chứng). Judge cùng họ Gemini với model trả lời → chưa độc lập.</t>
  </si>
  <si>
    <t>P-127: docs/agent_handoff/entries/20260926T030547Z_rag-pipeline_uet-evaluation-kpi.md</t>
  </si>
  <si>
    <t>E2</t>
  </si>
  <si>
    <t>Tài liệu dự án</t>
  </si>
  <si>
    <t>11 kịch bản kiểm thử (6 chất lượng AI + 5 luồng E2E) đều ở trạng thái 'Chờ thực thi' → 0/11 đã chạy.</t>
  </si>
  <si>
    <t>P-127: eval/results/report.md</t>
  </si>
  <si>
    <t>E3</t>
  </si>
  <si>
    <t>Log bàn giao</t>
  </si>
  <si>
    <t>Benchmark 75 câu chưa chạy đủ, chưa có baseline tỷ lệ chuyển cán bộ. Bảng học phí 'do người dùng cung cấp', 'chưa ghi năm áp dụng hoặc văn bản nguồn'.</t>
  </si>
  <si>
    <t>P-127: docs/agent_handoff/entries/20261004T025028Z_rag-pipeline_judge-only-evaluation.md</t>
  </si>
  <si>
    <t>E4</t>
  </si>
  <si>
    <t>Dấu hiệu trong workflow (git log)</t>
  </si>
  <si>
    <t>Commit 7c201d4 (07/10): sửa học phí 2 ngành thành 40 triệu/năm sau khi đối chiếu VnExpress; bảng chỉ phủ 17/20 ngành. Commit 6a2a037 (11/10): gắn nhãn năm cho bảng quy đổi IELTS (IELTS 6.5 = 9,25 theo bảng 2022–2024, khác năm 2026). Lỗi phát hiện qua dev, không qua kênh vận hành.</t>
  </si>
  <si>
    <t>P-127: git log; data/uet_hoc_bong_hoc_phi.md; data/UET_quy_doi_tieng_anh.md</t>
  </si>
  <si>
    <t>Quan sát sản phẩm (mã nguồn)</t>
  </si>
  <si>
    <t>Dashboard admin chỉ có: tỷ lệ AI trả lời, giảm tải cán bộ, số token, chi phí, cache hit. Tìm trong mã nguồn: không có chức năng báo sai cho từng câu trả lời (chỉ có CSAT 1–5 sao cho cả phiên).</t>
  </si>
  <si>
    <t>P-127: frontend/components/admin/AdminKpiCostView.tsx; tìm 'báo lỗi|feedback|thumbs' trong src/ và frontend/</t>
  </si>
  <si>
    <t>NN1, Đo lường</t>
  </si>
  <si>
    <t>E6</t>
  </si>
  <si>
    <t>Ngày 11/10/2026 có 5 commit sửa luồng hủy chuyển giao / hàng đợi cán bộ (a7ddd11, 2853160, 6827fe5, e7bf7c8, 8ae2788) → bàn giao người↔AI chưa ổn định.</t>
  </si>
  <si>
    <t>P-127: git log</t>
  </si>
  <si>
    <t>E7</t>
  </si>
  <si>
    <t>Ma trận chuyển người dựa trên tín hiệu kỹ thuật (similarity &lt; 0.75, SENSITIVE, REQUESTED…), không phân theo mức rủi ro nghiệp vụ của chủ đề — dù PRD §1.1 tự nêu sai học phí/điều kiện có thể dẫn tới khiếu nại pháp lý.</t>
  </si>
  <si>
    <t>P-127: docs/PRD_v3_UniPilot.md §1.1, §3</t>
  </si>
  <si>
    <t>E8</t>
  </si>
  <si>
    <t>Case tham khảo</t>
  </si>
  <si>
    <t>Moffatt v. Air Canada (2024, BC Civil Resolution Tribunal): doanh nghiệp phải chịu trách nhiệm cho thông tin chính sách sai do chatbot của mình đưa ra → câu trả lời học phí/điều kiện của AI là cam kết của trường.</t>
  </si>
  <si>
    <t>Moffatt v. Air Canada, 2024 BCCRT 149</t>
  </si>
  <si>
    <t>NN1, ADKAR-Desire</t>
  </si>
  <si>
    <t>E9</t>
  </si>
  <si>
    <t>Dell'Acqua, Mollick và cộng sự (2023), 'Navigating the Jagged Technological Frontier' (758 tư vấn viên BCG): với tác vụ nằm ngoài 'biên' năng lực AI, nhóm dùng AI ra đáp án đúng ít hơn rõ rệt → phải chỉ rõ phần việc nào giao AI.</t>
  </si>
  <si>
    <t>HBS Working Paper 24-013</t>
  </si>
  <si>
    <t>E10</t>
  </si>
  <si>
    <t>Phỏng vấn (KẾ HOẠCH — chưa thực hiện)</t>
  </si>
  <si>
    <t>Phỏng vấn ngắn 3 cán bộ tư vấn UET + quan sát 1 ca trực để xác nhận hành vi thực tế (có kiểm lại / trả lời tay không). Làm trong tuần 1, là điều kiện của gate 30.</t>
  </si>
  <si>
    <t>Kế hoạch 0–30 ngày</t>
  </si>
  <si>
    <t>NN1, NN2 (xác nhận)</t>
  </si>
  <si>
    <t>Thiết kế lại quy trình — AS-IS / TO-BE</t>
  </si>
  <si>
    <t>Kiến trúc tin cậy: Nguồn (có owner) → Trích nguồn + năm áp dụng → QA mẫu → Chuyển người → Báo sai / phản hồi</t>
  </si>
  <si>
    <t>Quy trình</t>
  </si>
  <si>
    <t>AS-IS (hiện tại)</t>
  </si>
  <si>
    <t>TO-BE (sau thiết kế lại)</t>
  </si>
  <si>
    <t>Điểm thay đổi thật</t>
  </si>
  <si>
    <t>WF1 Trả lời câu lặp lại</t>
  </si>
  <si>
    <t>Thí sinh hỏi → AI trả lời kèm [S1] (không ghi năm áp dụng) → không ai xem lại → lỗi phát hiện ngẫu nhiên bởi dev.</t>
  </si>
  <si>
    <t>Router phân chủ đề theo ma trận rủi ro → (rủi ro thấp) AI trả lời + nguồn + năm áp dụng | (học phí/học bổng/quy đổi) AI nháp → cán bộ duyệt → gửi → QA mẫu 50 hội thoại/tuần → nút 'Báo sai' cho thí sinh &amp; cán bộ → ticket cho data owner.</t>
  </si>
  <si>
    <t>Mollick: chủ đề rủi ro cao chuyển sang 'AI nháp – người duyệt'; QA owner = tổ trưởng tổ tư vấn.</t>
  </si>
  <si>
    <t>WF2 Chuyển giao</t>
  </si>
  <si>
    <t>AI chuyển khi similarity &lt; 0.75 / SENSITIVE / REQUESTED → Inbox → claim → trả lời → handback. Lý do đóng ticket không được ghi → không học được gì.</t>
  </si>
  <si>
    <t>AI chuyển + tóm tắt hội thoại cho cán bộ → claim → trả lời → đóng ticket BẮT BUỘC chọn nguyên nhân (thiếu dữ liệu / AI sai / ngoài phạm vi / nhạy cảm) → 'thiếu dữ liệu' hoặc 'AI sai' tự tạo đề xuất Hỏi–Đáp cho data owner.</t>
  </si>
  <si>
    <t>Khép vòng phản hồi: ca khó trở thành dữ liệu cải thiện.</t>
  </si>
  <si>
    <t>WF3 Cập nhật tri thức</t>
  </si>
  <si>
    <t>Dev sửa tệp data/*.md và commit; không có người phụ trách nguồn; học phí lấy từ báo.</t>
  </si>
  <si>
    <t>Mỗi nhóm tài liệu (điểm chuẩn, quy đổi ngoại ngữ, học phí, học bổng, đề án) có data owner + lịch rà soát → nạp qua Admin, bắt buộc năm áp dụng / văn bản gốc / ngày hiệu lực → lưu trữ bản cũ → chạy eval hồi quy 75 câu trước khi bật.</t>
  </si>
  <si>
    <t>Gartner-Lite Readiness: dữ liệu có người phụ trách &amp; lịch cập nhật.</t>
  </si>
  <si>
    <t>Lộ trình 30–60–90 ngày</t>
  </si>
  <si>
    <t>Giai đoạn</t>
  </si>
  <si>
    <t>Mục tiêu</t>
  </si>
  <si>
    <t>Việc chính</t>
  </si>
  <si>
    <t>Owner</t>
  </si>
  <si>
    <t>Dấu hiệu hoàn thành / Gate</t>
  </si>
  <si>
    <t>0–30 ngày</t>
  </si>
  <si>
    <t>Chứng minh vấn đề</t>
  </si>
  <si>
    <t>• Vẽ AS-IS / TO-BE
• Khoá phạm vi và nguồn
• Chạy eval 75 câu
• Ghi mốc ban đầu</t>
  </si>
  <si>
    <t>Nhóm P-127</t>
  </si>
  <si>
    <t>Có AS-IS/TO-BE và kết quả eval.</t>
  </si>
  <si>
    <t>31–60 ngày</t>
  </si>
  <si>
    <t>Chứng minh chất lượng</t>
  </si>
  <si>
    <t>• Bật trích nguồn
• QA theo mẫu
• Hướng dẫn cán bộ dùng Inbox
• Theo dõi tỷ lệ AI trả lời</t>
  </si>
  <si>
    <t>Cán bộ dùng được Inbox; tỷ lệ AI trả lời tăng.</t>
  </si>
  <si>
    <t>61–90 ngày</t>
  </si>
  <si>
    <t>Quyết định mở rộng</t>
  </si>
  <si>
    <t>• So với mục tiêu
• Chốt owner vận hành
• Mở rộng / sửa / dừng</t>
  </si>
  <si>
    <t>Có quyết định.</t>
  </si>
  <si>
    <t>Dashboard chỉ số · v1 — trước phản biện</t>
  </si>
  <si>
    <t>Mỗi chỉ số: baseline · target · nguồn · owner · hành động khi xấu.</t>
  </si>
  <si>
    <t>ID</t>
  </si>
  <si>
    <t>Cấp</t>
  </si>
  <si>
    <t>Tầng (1–5)</t>
  </si>
  <si>
    <t>Chỉ số</t>
  </si>
  <si>
    <t>Định nghĩa / công thức</t>
  </si>
  <si>
    <t>Mốc đầu (baseline)</t>
  </si>
  <si>
    <t>Mục tiêu (ngày 90)</t>
  </si>
  <si>
    <t>Nguồn dữ liệu</t>
  </si>
  <si>
    <t>Tần suất</t>
  </si>
  <si>
    <t>Phụ trách (owner)</t>
  </si>
  <si>
    <t>Ngưỡng xấu</t>
  </si>
  <si>
    <t>Hành động khi chỉ số xấu</t>
  </si>
  <si>
    <t>Vai trò chỉ số</t>
  </si>
  <si>
    <t>M1</t>
  </si>
  <si>
    <t>Product</t>
  </si>
  <si>
    <t>Toàn sản phẩm</t>
  </si>
  <si>
    <t>1 – Sử dụng</t>
  </si>
  <si>
    <t>Tỷ lệ AI trả lời</t>
  </si>
  <si>
    <t>Số câu AI trả lời / tổng câu hỏi của thí sinh</t>
  </si>
  <si>
    <t>Đang hiển thị trên Admin KPI (đọc tuần 1)</t>
  </si>
  <si>
    <t>≥75% (PRD: resolution ≥75%)</t>
  </si>
  <si>
    <t>Admin dashboard (AdminKpiCostView)</t>
  </si>
  <si>
    <t>Hằng ngày</t>
  </si>
  <si>
    <t>&lt;70%</t>
  </si>
  <si>
    <t>Tìm điểm vướng</t>
  </si>
  <si>
    <t>Quyết định</t>
  </si>
  <si>
    <t>M2</t>
  </si>
  <si>
    <t>WF1</t>
  </si>
  <si>
    <t>4 – Chất lượng</t>
  </si>
  <si>
    <t>Độ chính xác câu trả lời</t>
  </si>
  <si>
    <t>Câu được judge chấm đúng / câu AI đã trả lời</t>
  </si>
  <si>
    <t>100% (11/11 — eval 26/09/2026)</t>
  </si>
  <si>
    <t>≥92% (PRD)</t>
  </si>
  <si>
    <t>Eval Gemini judge (eval_cases_uet.json)</t>
  </si>
  <si>
    <t>Mỗi lần đổi model</t>
  </si>
  <si>
    <t>Tech lead AI</t>
  </si>
  <si>
    <t>&lt;92%</t>
  </si>
  <si>
    <t>Tăng kiểm soát</t>
  </si>
  <si>
    <t>M3</t>
  </si>
  <si>
    <t>Workflow</t>
  </si>
  <si>
    <t>WF2</t>
  </si>
  <si>
    <t>3 – Năng suất</t>
  </si>
  <si>
    <t>Thời gian chờ cán bộ tiếp nhận</t>
  </si>
  <si>
    <t>Thời điểm claim − thời điểm tạo ticket</t>
  </si>
  <si>
    <t>Đo tuần 1 từ log ticket</t>
  </si>
  <si>
    <t>≤15 phút</t>
  </si>
  <si>
    <t>Bảng tickets (PostgreSQL)</t>
  </si>
  <si>
    <t>Admin trường</t>
  </si>
  <si>
    <t>&gt;30 phút</t>
  </si>
  <si>
    <t>Thêm người trực giờ cao điểm</t>
  </si>
  <si>
    <t>M4</t>
  </si>
  <si>
    <t>CSAT</t>
  </si>
  <si>
    <t>Điểm đánh giá trung bình 1–5 sao</t>
  </si>
  <si>
    <t>Đọc tuần 1</t>
  </si>
  <si>
    <t>≥4,5/5 (PRD)</t>
  </si>
  <si>
    <t>Bảng consultation_ratings</t>
  </si>
  <si>
    <t>Hằng tuần</t>
  </si>
  <si>
    <t>&lt;4,0</t>
  </si>
  <si>
    <t>Xem lại cách làm</t>
  </si>
  <si>
    <t>M5</t>
  </si>
  <si>
    <t>WF1, WF2</t>
  </si>
  <si>
    <t>4 – Rủi ro</t>
  </si>
  <si>
    <t>Lỗi nghiêm trọng</t>
  </si>
  <si>
    <t>Số câu trả lời sai số liệu đến tay thí sinh</t>
  </si>
  <si>
    <t>Ghi hiện trạng</t>
  </si>
  <si>
    <t>0</t>
  </si>
  <si>
    <t>Log lỗi</t>
  </si>
  <si>
    <t>Phụ trách AI</t>
  </si>
  <si>
    <t>≥1</t>
  </si>
  <si>
    <t>Bổ sung xử lý</t>
  </si>
  <si>
    <t>M6</t>
  </si>
  <si>
    <t>5 – Giá trị</t>
  </si>
  <si>
    <t>Tỷ lệ nộp hồ sơ</t>
  </si>
  <si>
    <t>Phiên chat → 'Đã nộp hồ sơ' (funnel admin)</t>
  </si>
  <si>
    <t>Số hiện tại trên funnel</t>
  </si>
  <si>
    <t>+10% so với baseline</t>
  </si>
  <si>
    <t>Funnel AdminAnalyticsView</t>
  </si>
  <si>
    <t>Hằng tháng</t>
  </si>
  <si>
    <t>Trưởng ban tuyển sinh</t>
  </si>
  <si>
    <t>Không tăng</t>
  </si>
  <si>
    <t>Điều chỉnh / dừng</t>
  </si>
  <si>
    <t>Tự kiểm theo yêu cầu nộp bài (§6.4) — tính bằng công thức từ sheet Dashboard</t>
  </si>
  <si>
    <t>Kiểm tra</t>
  </si>
  <si>
    <t>Yêu cầu</t>
  </si>
  <si>
    <t>Số chỉ số product-level</t>
  </si>
  <si>
    <t>Số chỉ số workflow-level</t>
  </si>
  <si>
    <t>Ô baseline còn trống</t>
  </si>
  <si>
    <t>Ô target còn trống</t>
  </si>
  <si>
    <t>Ô nguồn dữ liệu còn trống</t>
  </si>
  <si>
    <t>Ô owner còn trống</t>
  </si>
  <si>
    <t>Ô 'hành động khi xấu' còn trống</t>
  </si>
  <si>
    <t>Số chỉ số tầng 3–5 (năng suất / chất lượng / giá trị)</t>
  </si>
  <si>
    <t>≥2</t>
  </si>
  <si>
    <t>Số chỉ số dùng để ra quyết định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</si>
</sst>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4"/>
      <color rgb="FF1F3864"/>
      <name val="Arial"/>
    </font>
    <font>
      <i/>
      <sz val="9"/>
      <color rgb="FF595959"/>
      <name val="Arial"/>
    </font>
    <font>
      <b/>
      <sz val="10"/>
      <color rgb="FFFFFFFF"/>
      <name val="Arial"/>
    </font>
    <font>
      <sz val="10"/>
      <name val="Arial"/>
    </font>
    <font>
      <b/>
      <sz val="12"/>
      <color rgb="FF1F3864"/>
      <name val="Arial"/>
    </font>
    <font>
      <b/>
      <sz val="10"/>
      <name val="Arial"/>
    </font>
    <font>
      <b/>
      <sz val="11"/>
      <name val="Arial"/>
    </font>
    <font>
      <sz val="11"/>
      <name val="Arial"/>
    </font>
  </fonts>
  <fills count="6">
    <fill>
      <patternFill patternType="none"/>
    </fill>
    <fill>
      <patternFill patternType="gray125"/>
    </fill>
    <fill>
      <patternFill patternType="solid">
        <fgColor rgb="FF1F3864"/>
      </patternFill>
    </fill>
    <fill>
      <patternFill patternType="solid">
        <fgColor rgb="FFFCE4D6"/>
      </patternFill>
    </fill>
    <fill>
      <patternFill patternType="solid">
        <fgColor rgb="FFFFF2CC"/>
      </patternFill>
    </fill>
    <fill>
      <patternFill patternType="solid">
        <fgColor rgb="FFE2EFDA"/>
      </patternFill>
    </fill>
  </fills>
  <borders count="2">
    <border>
      <left/>
      <right/>
      <top/>
      <bottom/>
      <diagonal/>
    </border>
    <border>
      <left style="thin">
        <color rgb="FFA6A6A6"/>
      </left>
      <right style="thin">
        <color rgb="FFA6A6A6"/>
      </right>
      <top style="thin">
        <color rgb="FFA6A6A6"/>
      </top>
      <bottom style="thin">
        <color rgb="FFA6A6A6"/>
      </bottom>
      <diagonal/>
    </border>
  </borders>
  <cellStyleXfs count="1">
    <xf numFmtId="0" fontId="0" fillId="0" borderId="0"/>
  </cellStyleXfs>
  <cellXfs count="11">
    <xf numFmtId="0" fontId="0" fillId="0" borderId="0" xfId="0"/>
    <xf numFmtId="0" fontId="1" fillId="0" borderId="0" xfId="0" applyFont="1"/>
    <xf numFmtId="0" fontId="2" fillId="0" borderId="0" xfId="0" applyFont="1"/>
    <xf numFmtId="0" fontId="3" fillId="2" borderId="1" xfId="0" applyFont="1" applyFill="1" applyBorder="1" applyAlignment="1">
      <alignment vertical="center" wrapText="1"/>
    </xf>
    <xf numFmtId="0" fontId="4" fillId="0" borderId="1" xfId="0" applyFont="1" applyBorder="1" applyAlignment="1">
      <alignment vertical="top" wrapText="1"/>
    </xf>
    <xf numFmtId="0" fontId="5" fillId="0" borderId="0" xfId="0" applyFont="1"/>
    <xf numFmtId="0" fontId="6" fillId="3" borderId="1" xfId="0" applyFont="1" applyFill="1" applyBorder="1" applyAlignment="1">
      <alignment vertical="top" wrapText="1"/>
    </xf>
    <xf numFmtId="0" fontId="6" fillId="4" borderId="1" xfId="0" applyFont="1" applyFill="1" applyBorder="1" applyAlignment="1">
      <alignment vertical="top" wrapText="1"/>
    </xf>
    <xf numFmtId="0" fontId="6" fillId="5" borderId="1" xfId="0" applyFont="1" applyFill="1" applyBorder="1" applyAlignment="1">
      <alignment vertical="top" wrapText="1"/>
    </xf>
    <xf numFmtId="0" fontId="7" fillId="0" borderId="0" xfId="0" applyFont="1"/>
    <xf numFmtId="0" fontId="8"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7"/>
  <sheetViews>
    <sheetView tabSelected="1" zoomScale="90" workbookViewId="0"/>
  </sheetViews>
  <sheetFormatPr defaultRowHeight="14.4" x14ac:dyDescent="0.3"/>
  <cols>
    <col min="1" max="1" width="26" customWidth="1"/>
    <col min="2" max="2" width="120" customWidth="1"/>
    <col min="3" max="3" width="45" customWidth="1"/>
    <col min="4" max="4" width="25" customWidth="1"/>
  </cols>
  <sheetData>
    <row r="1" spans="1:4" ht="17.399999999999999" x14ac:dyDescent="0.3">
      <c r="A1" s="1" t="s">
        <v>0</v>
      </c>
    </row>
    <row r="2" spans="1:4" x14ac:dyDescent="0.3">
      <c r="A2" s="2" t="s">
        <v>1</v>
      </c>
    </row>
    <row r="4" spans="1:4" x14ac:dyDescent="0.3">
      <c r="A4" s="3" t="s">
        <v>2</v>
      </c>
      <c r="B4" s="3" t="s">
        <v>3</v>
      </c>
    </row>
    <row r="5" spans="1:4" ht="26.4" x14ac:dyDescent="0.3">
      <c r="A5" s="4" t="s">
        <v>4</v>
      </c>
      <c r="B5" s="4" t="s">
        <v>5</v>
      </c>
    </row>
    <row r="6" spans="1:4" ht="26.4" x14ac:dyDescent="0.3">
      <c r="A6" s="4" t="s">
        <v>6</v>
      </c>
      <c r="B6" s="4" t="s">
        <v>7</v>
      </c>
    </row>
    <row r="7" spans="1:4" x14ac:dyDescent="0.3">
      <c r="A7" s="4" t="s">
        <v>8</v>
      </c>
      <c r="B7" s="4" t="s">
        <v>9</v>
      </c>
    </row>
    <row r="8" spans="1:4" x14ac:dyDescent="0.3">
      <c r="A8" s="4" t="s">
        <v>10</v>
      </c>
      <c r="B8" s="4" t="s">
        <v>11</v>
      </c>
    </row>
    <row r="9" spans="1:4" x14ac:dyDescent="0.3">
      <c r="A9" s="4" t="s">
        <v>12</v>
      </c>
      <c r="B9" s="4" t="s">
        <v>13</v>
      </c>
    </row>
    <row r="10" spans="1:4" ht="39.6" x14ac:dyDescent="0.3">
      <c r="A10" s="4" t="s">
        <v>14</v>
      </c>
      <c r="B10" s="4" t="s">
        <v>15</v>
      </c>
    </row>
    <row r="11" spans="1:4" ht="26.4" x14ac:dyDescent="0.3">
      <c r="A11" s="4" t="s">
        <v>16</v>
      </c>
      <c r="B11" s="4" t="s">
        <v>17</v>
      </c>
    </row>
    <row r="12" spans="1:4" x14ac:dyDescent="0.3">
      <c r="A12" s="4" t="s">
        <v>18</v>
      </c>
      <c r="B12" s="4" t="s">
        <v>19</v>
      </c>
    </row>
    <row r="14" spans="1:4" ht="15.6" x14ac:dyDescent="0.3">
      <c r="A14" s="5" t="s">
        <v>20</v>
      </c>
    </row>
    <row r="15" spans="1:4" x14ac:dyDescent="0.3">
      <c r="A15" s="3" t="s">
        <v>21</v>
      </c>
      <c r="B15" s="3" t="s">
        <v>22</v>
      </c>
      <c r="C15" s="3" t="s">
        <v>23</v>
      </c>
      <c r="D15" s="3" t="s">
        <v>24</v>
      </c>
    </row>
    <row r="16" spans="1:4" ht="39.6" x14ac:dyDescent="0.3">
      <c r="A16" s="4" t="s">
        <v>25</v>
      </c>
      <c r="B16" s="4" t="s">
        <v>26</v>
      </c>
      <c r="C16" s="4" t="s">
        <v>27</v>
      </c>
      <c r="D16" s="4" t="s">
        <v>28</v>
      </c>
    </row>
    <row r="17" spans="1:4" ht="26.4" x14ac:dyDescent="0.3">
      <c r="A17" s="4" t="s">
        <v>29</v>
      </c>
      <c r="B17" s="4" t="s">
        <v>30</v>
      </c>
      <c r="C17" s="4" t="s">
        <v>31</v>
      </c>
      <c r="D17" s="4" t="s">
        <v>32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3"/>
  <sheetViews>
    <sheetView zoomScale="90" workbookViewId="0"/>
  </sheetViews>
  <sheetFormatPr defaultRowHeight="14.4" x14ac:dyDescent="0.3"/>
  <cols>
    <col min="1" max="1" width="22" customWidth="1"/>
    <col min="2" max="2" width="34" customWidth="1"/>
    <col min="3" max="3" width="80" customWidth="1"/>
    <col min="4" max="4" width="26" customWidth="1"/>
    <col min="5" max="5" width="16" customWidth="1"/>
  </cols>
  <sheetData>
    <row r="1" spans="1:5" ht="17.399999999999999" x14ac:dyDescent="0.3">
      <c r="A1" s="1" t="s">
        <v>33</v>
      </c>
    </row>
    <row r="3" spans="1:5" ht="15.6" x14ac:dyDescent="0.3">
      <c r="A3" s="5" t="s">
        <v>34</v>
      </c>
    </row>
    <row r="4" spans="1:5" x14ac:dyDescent="0.3">
      <c r="A4" s="3" t="s">
        <v>35</v>
      </c>
      <c r="B4" s="3" t="s">
        <v>36</v>
      </c>
      <c r="C4" s="3" t="s">
        <v>37</v>
      </c>
      <c r="D4" s="3" t="s">
        <v>38</v>
      </c>
      <c r="E4" s="3" t="s">
        <v>24</v>
      </c>
    </row>
    <row r="5" spans="1:5" ht="39.6" x14ac:dyDescent="0.3">
      <c r="A5" s="4" t="s">
        <v>39</v>
      </c>
      <c r="B5" s="4" t="s">
        <v>40</v>
      </c>
      <c r="C5" s="4" t="s">
        <v>41</v>
      </c>
      <c r="D5" s="6" t="s">
        <v>42</v>
      </c>
      <c r="E5" s="4" t="s">
        <v>43</v>
      </c>
    </row>
    <row r="6" spans="1:5" ht="26.4" x14ac:dyDescent="0.3">
      <c r="A6" s="4" t="s">
        <v>44</v>
      </c>
      <c r="B6" s="4" t="s">
        <v>45</v>
      </c>
      <c r="C6" s="4" t="s">
        <v>46</v>
      </c>
      <c r="D6" s="7" t="s">
        <v>47</v>
      </c>
      <c r="E6" s="4" t="s">
        <v>48</v>
      </c>
    </row>
    <row r="7" spans="1:5" ht="39.6" x14ac:dyDescent="0.3">
      <c r="A7" s="4" t="s">
        <v>49</v>
      </c>
      <c r="B7" s="4" t="s">
        <v>50</v>
      </c>
      <c r="C7" s="4" t="s">
        <v>51</v>
      </c>
      <c r="D7" s="6" t="s">
        <v>52</v>
      </c>
      <c r="E7" s="4" t="s">
        <v>53</v>
      </c>
    </row>
    <row r="8" spans="1:5" ht="39.6" x14ac:dyDescent="0.3">
      <c r="A8" s="4" t="s">
        <v>54</v>
      </c>
      <c r="B8" s="4" t="s">
        <v>55</v>
      </c>
      <c r="C8" s="4" t="s">
        <v>56</v>
      </c>
      <c r="D8" s="6" t="s">
        <v>52</v>
      </c>
      <c r="E8" s="4" t="s">
        <v>57</v>
      </c>
    </row>
    <row r="9" spans="1:5" ht="26.4" x14ac:dyDescent="0.3">
      <c r="A9" s="4" t="s">
        <v>58</v>
      </c>
      <c r="B9" s="4" t="s">
        <v>59</v>
      </c>
      <c r="C9" s="4" t="s">
        <v>60</v>
      </c>
      <c r="D9" s="7" t="s">
        <v>61</v>
      </c>
      <c r="E9" s="4" t="s">
        <v>62</v>
      </c>
    </row>
    <row r="11" spans="1:5" ht="15.6" x14ac:dyDescent="0.3">
      <c r="A11" s="5" t="s">
        <v>63</v>
      </c>
    </row>
    <row r="12" spans="1:5" x14ac:dyDescent="0.3">
      <c r="A12" s="3" t="s">
        <v>35</v>
      </c>
      <c r="B12" s="3" t="s">
        <v>2</v>
      </c>
      <c r="C12" s="3" t="s">
        <v>64</v>
      </c>
      <c r="D12" s="3" t="s">
        <v>65</v>
      </c>
      <c r="E12" s="3" t="s">
        <v>24</v>
      </c>
    </row>
    <row r="13" spans="1:5" x14ac:dyDescent="0.3">
      <c r="A13" s="4" t="s">
        <v>66</v>
      </c>
      <c r="B13" s="4" t="s">
        <v>67</v>
      </c>
      <c r="C13" s="4" t="s">
        <v>68</v>
      </c>
      <c r="D13" s="8" t="s">
        <v>69</v>
      </c>
      <c r="E13" s="4" t="s">
        <v>70</v>
      </c>
    </row>
    <row r="14" spans="1:5" ht="26.4" x14ac:dyDescent="0.3">
      <c r="A14" s="4" t="s">
        <v>71</v>
      </c>
      <c r="B14" s="4" t="s">
        <v>72</v>
      </c>
      <c r="C14" s="4" t="s">
        <v>73</v>
      </c>
      <c r="D14" s="6" t="s">
        <v>74</v>
      </c>
      <c r="E14" s="4" t="s">
        <v>53</v>
      </c>
    </row>
    <row r="15" spans="1:5" ht="26.4" x14ac:dyDescent="0.3">
      <c r="A15" s="4" t="s">
        <v>71</v>
      </c>
      <c r="B15" s="4" t="s">
        <v>75</v>
      </c>
      <c r="C15" s="4" t="s">
        <v>76</v>
      </c>
      <c r="D15" s="7" t="s">
        <v>77</v>
      </c>
      <c r="E15" s="4" t="s">
        <v>78</v>
      </c>
    </row>
    <row r="16" spans="1:5" ht="26.4" x14ac:dyDescent="0.3">
      <c r="A16" s="4" t="s">
        <v>71</v>
      </c>
      <c r="B16" s="4" t="s">
        <v>79</v>
      </c>
      <c r="C16" s="4" t="s">
        <v>80</v>
      </c>
      <c r="D16" s="7" t="s">
        <v>77</v>
      </c>
      <c r="E16" s="4" t="s">
        <v>62</v>
      </c>
    </row>
    <row r="17" spans="1:5" ht="26.4" x14ac:dyDescent="0.3">
      <c r="A17" s="4" t="s">
        <v>81</v>
      </c>
      <c r="B17" s="4" t="s">
        <v>82</v>
      </c>
      <c r="C17" s="4" t="s">
        <v>83</v>
      </c>
      <c r="D17" s="6" t="s">
        <v>74</v>
      </c>
      <c r="E17" s="4" t="s">
        <v>84</v>
      </c>
    </row>
    <row r="18" spans="1:5" ht="26.4" x14ac:dyDescent="0.3">
      <c r="A18" s="4" t="s">
        <v>81</v>
      </c>
      <c r="B18" s="4" t="s">
        <v>85</v>
      </c>
      <c r="C18" s="4" t="s">
        <v>86</v>
      </c>
      <c r="D18" s="6" t="s">
        <v>74</v>
      </c>
      <c r="E18" s="4" t="s">
        <v>87</v>
      </c>
    </row>
    <row r="19" spans="1:5" ht="26.4" x14ac:dyDescent="0.3">
      <c r="A19" s="4" t="s">
        <v>88</v>
      </c>
      <c r="B19" s="4"/>
      <c r="C19" s="4" t="s">
        <v>89</v>
      </c>
      <c r="D19" s="4" t="s">
        <v>90</v>
      </c>
      <c r="E19" s="4"/>
    </row>
    <row r="21" spans="1:5" ht="15.6" x14ac:dyDescent="0.3">
      <c r="A21" s="5" t="s">
        <v>91</v>
      </c>
    </row>
    <row r="22" spans="1:5" ht="26.4" x14ac:dyDescent="0.3">
      <c r="A22" s="3" t="s">
        <v>92</v>
      </c>
      <c r="B22" s="3" t="s">
        <v>93</v>
      </c>
      <c r="C22" s="3" t="s">
        <v>94</v>
      </c>
      <c r="D22" s="3" t="s">
        <v>95</v>
      </c>
      <c r="E22" s="3" t="s">
        <v>96</v>
      </c>
    </row>
    <row r="23" spans="1:5" ht="66" x14ac:dyDescent="0.3">
      <c r="A23" s="4" t="s">
        <v>97</v>
      </c>
      <c r="B23" s="4" t="s">
        <v>98</v>
      </c>
      <c r="C23" s="4" t="s">
        <v>99</v>
      </c>
      <c r="D23" s="4" t="s">
        <v>100</v>
      </c>
      <c r="E23" s="4" t="s">
        <v>101</v>
      </c>
    </row>
    <row r="24" spans="1:5" ht="66" x14ac:dyDescent="0.3">
      <c r="A24" s="4" t="s">
        <v>102</v>
      </c>
      <c r="B24" s="4" t="s">
        <v>103</v>
      </c>
      <c r="C24" s="4" t="s">
        <v>104</v>
      </c>
      <c r="D24" s="4" t="s">
        <v>105</v>
      </c>
      <c r="E24" s="4" t="s">
        <v>106</v>
      </c>
    </row>
    <row r="25" spans="1:5" ht="52.8" x14ac:dyDescent="0.3">
      <c r="A25" s="4" t="s">
        <v>107</v>
      </c>
      <c r="B25" s="4" t="s">
        <v>108</v>
      </c>
      <c r="C25" s="4" t="s">
        <v>109</v>
      </c>
      <c r="D25" s="4" t="s">
        <v>110</v>
      </c>
      <c r="E25" s="4" t="s">
        <v>111</v>
      </c>
    </row>
    <row r="27" spans="1:5" ht="15.6" x14ac:dyDescent="0.3">
      <c r="A27" s="5" t="s">
        <v>112</v>
      </c>
    </row>
    <row r="28" spans="1:5" x14ac:dyDescent="0.3">
      <c r="A28" s="3" t="s">
        <v>113</v>
      </c>
      <c r="B28" s="3" t="s">
        <v>64</v>
      </c>
      <c r="C28" s="3" t="s">
        <v>114</v>
      </c>
      <c r="D28" s="3" t="s">
        <v>115</v>
      </c>
    </row>
    <row r="29" spans="1:5" ht="39.6" x14ac:dyDescent="0.3">
      <c r="A29" s="4" t="s">
        <v>116</v>
      </c>
      <c r="B29" s="4" t="s">
        <v>117</v>
      </c>
      <c r="C29" s="6" t="s">
        <v>118</v>
      </c>
      <c r="D29" s="4" t="s">
        <v>119</v>
      </c>
    </row>
    <row r="30" spans="1:5" ht="66" x14ac:dyDescent="0.3">
      <c r="A30" s="4" t="s">
        <v>120</v>
      </c>
      <c r="B30" s="4" t="s">
        <v>121</v>
      </c>
      <c r="C30" s="6" t="s">
        <v>118</v>
      </c>
      <c r="D30" s="4" t="s">
        <v>122</v>
      </c>
    </row>
    <row r="31" spans="1:5" ht="26.4" x14ac:dyDescent="0.3">
      <c r="A31" s="4" t="s">
        <v>123</v>
      </c>
      <c r="B31" s="4" t="s">
        <v>124</v>
      </c>
      <c r="C31" s="7" t="s">
        <v>125</v>
      </c>
      <c r="D31" s="4" t="s">
        <v>126</v>
      </c>
    </row>
    <row r="32" spans="1:5" ht="39.6" x14ac:dyDescent="0.3">
      <c r="A32" s="4" t="s">
        <v>127</v>
      </c>
      <c r="B32" s="4" t="s">
        <v>128</v>
      </c>
      <c r="C32" s="7" t="s">
        <v>125</v>
      </c>
      <c r="D32" s="4" t="s">
        <v>129</v>
      </c>
    </row>
    <row r="33" spans="1:4" ht="39.6" x14ac:dyDescent="0.3">
      <c r="A33" s="4" t="s">
        <v>130</v>
      </c>
      <c r="B33" s="4" t="s">
        <v>131</v>
      </c>
      <c r="C33" s="7" t="s">
        <v>125</v>
      </c>
      <c r="D33" s="4" t="s">
        <v>132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4"/>
  <sheetViews>
    <sheetView zoomScale="90" workbookViewId="0">
      <pane ySplit="4" topLeftCell="A5" activePane="bottomLeft" state="frozen"/>
      <selection pane="bottomLeft"/>
    </sheetView>
  </sheetViews>
  <sheetFormatPr defaultRowHeight="14.4" x14ac:dyDescent="0.3"/>
  <cols>
    <col min="1" max="1" width="13" customWidth="1"/>
    <col min="2" max="2" width="24" customWidth="1"/>
    <col min="3" max="3" width="90" customWidth="1"/>
    <col min="4" max="4" width="55" customWidth="1"/>
    <col min="5" max="5" width="18" customWidth="1"/>
  </cols>
  <sheetData>
    <row r="1" spans="1:5" ht="17.399999999999999" x14ac:dyDescent="0.3">
      <c r="A1" s="1" t="s">
        <v>133</v>
      </c>
    </row>
    <row r="2" spans="1:5" x14ac:dyDescent="0.3">
      <c r="A2" s="2" t="s">
        <v>134</v>
      </c>
    </row>
    <row r="4" spans="1:5" x14ac:dyDescent="0.3">
      <c r="A4" s="3" t="s">
        <v>21</v>
      </c>
      <c r="B4" s="3" t="s">
        <v>135</v>
      </c>
      <c r="C4" s="3" t="s">
        <v>3</v>
      </c>
      <c r="D4" s="3" t="s">
        <v>136</v>
      </c>
      <c r="E4" s="3" t="s">
        <v>137</v>
      </c>
    </row>
    <row r="5" spans="1:5" ht="39.6" x14ac:dyDescent="0.3">
      <c r="A5" s="4" t="s">
        <v>138</v>
      </c>
      <c r="B5" s="4" t="s">
        <v>139</v>
      </c>
      <c r="C5" s="4" t="s">
        <v>140</v>
      </c>
      <c r="D5" s="4" t="s">
        <v>141</v>
      </c>
      <c r="E5" s="4" t="s">
        <v>25</v>
      </c>
    </row>
    <row r="6" spans="1:5" x14ac:dyDescent="0.3">
      <c r="A6" s="4" t="s">
        <v>142</v>
      </c>
      <c r="B6" s="4" t="s">
        <v>143</v>
      </c>
      <c r="C6" s="4" t="s">
        <v>144</v>
      </c>
      <c r="D6" s="4" t="s">
        <v>145</v>
      </c>
      <c r="E6" s="4" t="s">
        <v>25</v>
      </c>
    </row>
    <row r="7" spans="1:5" ht="26.4" x14ac:dyDescent="0.3">
      <c r="A7" s="4" t="s">
        <v>146</v>
      </c>
      <c r="B7" s="4" t="s">
        <v>147</v>
      </c>
      <c r="C7" s="4" t="s">
        <v>148</v>
      </c>
      <c r="D7" s="4" t="s">
        <v>149</v>
      </c>
      <c r="E7" s="4" t="s">
        <v>25</v>
      </c>
    </row>
    <row r="8" spans="1:5" ht="39.6" x14ac:dyDescent="0.3">
      <c r="A8" s="4" t="s">
        <v>150</v>
      </c>
      <c r="B8" s="4" t="s">
        <v>151</v>
      </c>
      <c r="C8" s="4" t="s">
        <v>152</v>
      </c>
      <c r="D8" s="4" t="s">
        <v>153</v>
      </c>
      <c r="E8" s="4" t="s">
        <v>25</v>
      </c>
    </row>
    <row r="9" spans="1:5" ht="26.4" x14ac:dyDescent="0.3">
      <c r="A9" s="4" t="s">
        <v>62</v>
      </c>
      <c r="B9" s="4" t="s">
        <v>154</v>
      </c>
      <c r="C9" s="4" t="s">
        <v>155</v>
      </c>
      <c r="D9" s="4" t="s">
        <v>156</v>
      </c>
      <c r="E9" s="4" t="s">
        <v>157</v>
      </c>
    </row>
    <row r="10" spans="1:5" ht="26.4" x14ac:dyDescent="0.3">
      <c r="A10" s="4" t="s">
        <v>158</v>
      </c>
      <c r="B10" s="4" t="s">
        <v>151</v>
      </c>
      <c r="C10" s="4" t="s">
        <v>159</v>
      </c>
      <c r="D10" s="4" t="s">
        <v>160</v>
      </c>
      <c r="E10" s="4" t="s">
        <v>29</v>
      </c>
    </row>
    <row r="11" spans="1:5" ht="39.6" x14ac:dyDescent="0.3">
      <c r="A11" s="4" t="s">
        <v>161</v>
      </c>
      <c r="B11" s="4" t="s">
        <v>143</v>
      </c>
      <c r="C11" s="4" t="s">
        <v>162</v>
      </c>
      <c r="D11" s="4" t="s">
        <v>163</v>
      </c>
      <c r="E11" s="4" t="s">
        <v>29</v>
      </c>
    </row>
    <row r="12" spans="1:5" ht="39.6" x14ac:dyDescent="0.3">
      <c r="A12" s="4" t="s">
        <v>164</v>
      </c>
      <c r="B12" s="4" t="s">
        <v>165</v>
      </c>
      <c r="C12" s="4" t="s">
        <v>166</v>
      </c>
      <c r="D12" s="4" t="s">
        <v>167</v>
      </c>
      <c r="E12" s="4" t="s">
        <v>168</v>
      </c>
    </row>
    <row r="13" spans="1:5" ht="39.6" x14ac:dyDescent="0.3">
      <c r="A13" s="4" t="s">
        <v>169</v>
      </c>
      <c r="B13" s="4" t="s">
        <v>165</v>
      </c>
      <c r="C13" s="4" t="s">
        <v>170</v>
      </c>
      <c r="D13" s="4" t="s">
        <v>171</v>
      </c>
      <c r="E13" s="4" t="s">
        <v>29</v>
      </c>
    </row>
    <row r="14" spans="1:5" ht="26.4" x14ac:dyDescent="0.3">
      <c r="A14" s="4" t="s">
        <v>172</v>
      </c>
      <c r="B14" s="4" t="s">
        <v>173</v>
      </c>
      <c r="C14" s="4" t="s">
        <v>174</v>
      </c>
      <c r="D14" s="4" t="s">
        <v>175</v>
      </c>
      <c r="E14" s="4" t="s">
        <v>176</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7"/>
  <sheetViews>
    <sheetView zoomScale="90" workbookViewId="0"/>
  </sheetViews>
  <sheetFormatPr defaultRowHeight="14.4" x14ac:dyDescent="0.3"/>
  <cols>
    <col min="1" max="1" width="22" customWidth="1"/>
    <col min="2" max="2" width="55" customWidth="1"/>
    <col min="3" max="3" width="75" customWidth="1"/>
    <col min="4" max="4" width="40" customWidth="1"/>
  </cols>
  <sheetData>
    <row r="1" spans="1:4" ht="17.399999999999999" x14ac:dyDescent="0.3">
      <c r="A1" s="1" t="s">
        <v>177</v>
      </c>
    </row>
    <row r="2" spans="1:4" x14ac:dyDescent="0.3">
      <c r="A2" s="2" t="s">
        <v>178</v>
      </c>
    </row>
    <row r="4" spans="1:4" x14ac:dyDescent="0.3">
      <c r="A4" s="3" t="s">
        <v>179</v>
      </c>
      <c r="B4" s="3" t="s">
        <v>180</v>
      </c>
      <c r="C4" s="3" t="s">
        <v>181</v>
      </c>
      <c r="D4" s="3" t="s">
        <v>182</v>
      </c>
    </row>
    <row r="5" spans="1:4" ht="39.6" x14ac:dyDescent="0.3">
      <c r="A5" s="4" t="s">
        <v>183</v>
      </c>
      <c r="B5" s="4" t="s">
        <v>184</v>
      </c>
      <c r="C5" s="4" t="s">
        <v>185</v>
      </c>
      <c r="D5" s="4" t="s">
        <v>186</v>
      </c>
    </row>
    <row r="6" spans="1:4" ht="39.6" x14ac:dyDescent="0.3">
      <c r="A6" s="4" t="s">
        <v>187</v>
      </c>
      <c r="B6" s="4" t="s">
        <v>188</v>
      </c>
      <c r="C6" s="4" t="s">
        <v>189</v>
      </c>
      <c r="D6" s="4" t="s">
        <v>190</v>
      </c>
    </row>
    <row r="7" spans="1:4" ht="39.6" x14ac:dyDescent="0.3">
      <c r="A7" s="4" t="s">
        <v>191</v>
      </c>
      <c r="B7" s="4" t="s">
        <v>192</v>
      </c>
      <c r="C7" s="4" t="s">
        <v>193</v>
      </c>
      <c r="D7" s="4" t="s">
        <v>194</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7"/>
  <sheetViews>
    <sheetView zoomScale="90" workbookViewId="0"/>
  </sheetViews>
  <sheetFormatPr defaultRowHeight="14.4" x14ac:dyDescent="0.3"/>
  <cols>
    <col min="1" max="1" width="14" customWidth="1"/>
    <col min="2" max="2" width="22" customWidth="1"/>
    <col min="3" max="3" width="60" customWidth="1"/>
    <col min="4" max="4" width="30" customWidth="1"/>
    <col min="5" max="5" width="60" customWidth="1"/>
  </cols>
  <sheetData>
    <row r="1" spans="1:5" ht="17.399999999999999" x14ac:dyDescent="0.3">
      <c r="A1" s="1" t="s">
        <v>195</v>
      </c>
    </row>
    <row r="4" spans="1:5" x14ac:dyDescent="0.3">
      <c r="A4" s="3" t="s">
        <v>196</v>
      </c>
      <c r="B4" s="3" t="s">
        <v>197</v>
      </c>
      <c r="C4" s="3" t="s">
        <v>198</v>
      </c>
      <c r="D4" s="3" t="s">
        <v>199</v>
      </c>
      <c r="E4" s="3" t="s">
        <v>200</v>
      </c>
    </row>
    <row r="5" spans="1:5" ht="52.8" x14ac:dyDescent="0.3">
      <c r="A5" s="4" t="s">
        <v>201</v>
      </c>
      <c r="B5" s="4" t="s">
        <v>202</v>
      </c>
      <c r="C5" s="4" t="s">
        <v>203</v>
      </c>
      <c r="D5" s="4" t="s">
        <v>204</v>
      </c>
      <c r="E5" s="4" t="s">
        <v>205</v>
      </c>
    </row>
    <row r="6" spans="1:5" ht="52.8" x14ac:dyDescent="0.3">
      <c r="A6" s="4" t="s">
        <v>206</v>
      </c>
      <c r="B6" s="4" t="s">
        <v>207</v>
      </c>
      <c r="C6" s="4" t="s">
        <v>208</v>
      </c>
      <c r="D6" s="4" t="s">
        <v>204</v>
      </c>
      <c r="E6" s="4" t="s">
        <v>209</v>
      </c>
    </row>
    <row r="7" spans="1:5" ht="39.6" x14ac:dyDescent="0.3">
      <c r="A7" s="4" t="s">
        <v>210</v>
      </c>
      <c r="B7" s="4" t="s">
        <v>211</v>
      </c>
      <c r="C7" s="4" t="s">
        <v>212</v>
      </c>
      <c r="D7" s="4" t="s">
        <v>204</v>
      </c>
      <c r="E7" s="4" t="s">
        <v>213</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10"/>
  <sheetViews>
    <sheetView zoomScale="90" workbookViewId="0">
      <pane xSplit="5" ySplit="4" topLeftCell="F5" activePane="bottomRight" state="frozen"/>
      <selection pane="topRight"/>
      <selection pane="bottomLeft"/>
      <selection pane="bottomRight"/>
    </sheetView>
  </sheetViews>
  <sheetFormatPr defaultRowHeight="14.4" x14ac:dyDescent="0.3"/>
  <cols>
    <col min="1" max="3" width="13" customWidth="1"/>
    <col min="4" max="4" width="16" customWidth="1"/>
    <col min="5" max="5" width="30" customWidth="1"/>
    <col min="6" max="6" width="42" customWidth="1"/>
    <col min="7" max="7" width="34" customWidth="1"/>
    <col min="8" max="8" width="26" customWidth="1"/>
    <col min="9" max="9" width="30" customWidth="1"/>
    <col min="10" max="10" width="14" customWidth="1"/>
    <col min="11" max="11" width="26" customWidth="1"/>
    <col min="12" max="12" width="18" customWidth="1"/>
    <col min="13" max="13" width="48" customWidth="1"/>
    <col min="14" max="14" width="13" customWidth="1"/>
  </cols>
  <sheetData>
    <row r="1" spans="1:14" ht="17.399999999999999" x14ac:dyDescent="0.3">
      <c r="A1" s="1" t="s">
        <v>214</v>
      </c>
    </row>
    <row r="2" spans="1:14" x14ac:dyDescent="0.3">
      <c r="A2" s="2" t="s">
        <v>215</v>
      </c>
    </row>
    <row r="4" spans="1:14" x14ac:dyDescent="0.3">
      <c r="A4" s="3" t="s">
        <v>216</v>
      </c>
      <c r="B4" s="3" t="s">
        <v>217</v>
      </c>
      <c r="C4" s="3" t="s">
        <v>179</v>
      </c>
      <c r="D4" s="3" t="s">
        <v>218</v>
      </c>
      <c r="E4" s="3" t="s">
        <v>219</v>
      </c>
      <c r="F4" s="3" t="s">
        <v>220</v>
      </c>
      <c r="G4" s="3" t="s">
        <v>221</v>
      </c>
      <c r="H4" s="3" t="s">
        <v>222</v>
      </c>
      <c r="I4" s="3" t="s">
        <v>223</v>
      </c>
      <c r="J4" s="3" t="s">
        <v>224</v>
      </c>
      <c r="K4" s="3" t="s">
        <v>225</v>
      </c>
      <c r="L4" s="3" t="s">
        <v>226</v>
      </c>
      <c r="M4" s="3" t="s">
        <v>227</v>
      </c>
      <c r="N4" s="3" t="s">
        <v>228</v>
      </c>
    </row>
    <row r="5" spans="1:14" ht="26.4" x14ac:dyDescent="0.3">
      <c r="A5" s="4" t="s">
        <v>229</v>
      </c>
      <c r="B5" s="4" t="s">
        <v>230</v>
      </c>
      <c r="C5" s="4" t="s">
        <v>231</v>
      </c>
      <c r="D5" s="4" t="s">
        <v>232</v>
      </c>
      <c r="E5" s="4" t="s">
        <v>233</v>
      </c>
      <c r="F5" s="4" t="s">
        <v>234</v>
      </c>
      <c r="G5" s="4" t="s">
        <v>235</v>
      </c>
      <c r="H5" s="4" t="s">
        <v>236</v>
      </c>
      <c r="I5" s="4" t="s">
        <v>237</v>
      </c>
      <c r="J5" s="4" t="s">
        <v>238</v>
      </c>
      <c r="K5" s="4" t="s">
        <v>204</v>
      </c>
      <c r="L5" s="4" t="s">
        <v>239</v>
      </c>
      <c r="M5" s="4" t="s">
        <v>240</v>
      </c>
      <c r="N5" s="4" t="s">
        <v>241</v>
      </c>
    </row>
    <row r="6" spans="1:14" ht="26.4" x14ac:dyDescent="0.3">
      <c r="A6" s="4" t="s">
        <v>242</v>
      </c>
      <c r="B6" s="4" t="s">
        <v>230</v>
      </c>
      <c r="C6" s="4" t="s">
        <v>243</v>
      </c>
      <c r="D6" s="4" t="s">
        <v>244</v>
      </c>
      <c r="E6" s="4" t="s">
        <v>245</v>
      </c>
      <c r="F6" s="4" t="s">
        <v>246</v>
      </c>
      <c r="G6" s="4" t="s">
        <v>247</v>
      </c>
      <c r="H6" s="4" t="s">
        <v>248</v>
      </c>
      <c r="I6" s="4" t="s">
        <v>249</v>
      </c>
      <c r="J6" s="4" t="s">
        <v>250</v>
      </c>
      <c r="K6" s="4" t="s">
        <v>251</v>
      </c>
      <c r="L6" s="4" t="s">
        <v>252</v>
      </c>
      <c r="M6" s="4" t="s">
        <v>253</v>
      </c>
      <c r="N6" s="4" t="s">
        <v>241</v>
      </c>
    </row>
    <row r="7" spans="1:14" x14ac:dyDescent="0.3">
      <c r="A7" s="4" t="s">
        <v>254</v>
      </c>
      <c r="B7" s="4" t="s">
        <v>255</v>
      </c>
      <c r="C7" s="4" t="s">
        <v>256</v>
      </c>
      <c r="D7" s="4" t="s">
        <v>257</v>
      </c>
      <c r="E7" s="4" t="s">
        <v>258</v>
      </c>
      <c r="F7" s="4" t="s">
        <v>259</v>
      </c>
      <c r="G7" s="4" t="s">
        <v>260</v>
      </c>
      <c r="H7" s="4" t="s">
        <v>261</v>
      </c>
      <c r="I7" s="4" t="s">
        <v>262</v>
      </c>
      <c r="J7" s="4" t="s">
        <v>238</v>
      </c>
      <c r="K7" s="4" t="s">
        <v>263</v>
      </c>
      <c r="L7" s="4" t="s">
        <v>264</v>
      </c>
      <c r="M7" s="4" t="s">
        <v>265</v>
      </c>
      <c r="N7" s="4" t="s">
        <v>241</v>
      </c>
    </row>
    <row r="8" spans="1:14" ht="26.4" x14ac:dyDescent="0.3">
      <c r="A8" s="4" t="s">
        <v>266</v>
      </c>
      <c r="B8" s="4" t="s">
        <v>230</v>
      </c>
      <c r="C8" s="4" t="s">
        <v>231</v>
      </c>
      <c r="D8" s="4" t="s">
        <v>244</v>
      </c>
      <c r="E8" s="4" t="s">
        <v>267</v>
      </c>
      <c r="F8" s="4" t="s">
        <v>268</v>
      </c>
      <c r="G8" s="4" t="s">
        <v>269</v>
      </c>
      <c r="H8" s="4" t="s">
        <v>270</v>
      </c>
      <c r="I8" s="4" t="s">
        <v>271</v>
      </c>
      <c r="J8" s="4" t="s">
        <v>272</v>
      </c>
      <c r="K8" s="4" t="s">
        <v>204</v>
      </c>
      <c r="L8" s="4" t="s">
        <v>273</v>
      </c>
      <c r="M8" s="4" t="s">
        <v>274</v>
      </c>
      <c r="N8" s="4" t="s">
        <v>241</v>
      </c>
    </row>
    <row r="9" spans="1:14" x14ac:dyDescent="0.3">
      <c r="A9" s="4" t="s">
        <v>275</v>
      </c>
      <c r="B9" s="4" t="s">
        <v>255</v>
      </c>
      <c r="C9" s="4" t="s">
        <v>276</v>
      </c>
      <c r="D9" s="4" t="s">
        <v>277</v>
      </c>
      <c r="E9" s="4" t="s">
        <v>278</v>
      </c>
      <c r="F9" s="4" t="s">
        <v>279</v>
      </c>
      <c r="G9" s="4" t="s">
        <v>280</v>
      </c>
      <c r="H9" s="4" t="s">
        <v>281</v>
      </c>
      <c r="I9" s="4" t="s">
        <v>282</v>
      </c>
      <c r="J9" s="4" t="s">
        <v>272</v>
      </c>
      <c r="K9" s="4" t="s">
        <v>283</v>
      </c>
      <c r="L9" s="4" t="s">
        <v>284</v>
      </c>
      <c r="M9" s="4" t="s">
        <v>285</v>
      </c>
      <c r="N9" s="4" t="s">
        <v>241</v>
      </c>
    </row>
    <row r="10" spans="1:14" ht="26.4" x14ac:dyDescent="0.3">
      <c r="A10" s="4" t="s">
        <v>286</v>
      </c>
      <c r="B10" s="4" t="s">
        <v>230</v>
      </c>
      <c r="C10" s="4" t="s">
        <v>231</v>
      </c>
      <c r="D10" s="4" t="s">
        <v>287</v>
      </c>
      <c r="E10" s="4" t="s">
        <v>288</v>
      </c>
      <c r="F10" s="4" t="s">
        <v>289</v>
      </c>
      <c r="G10" s="4" t="s">
        <v>290</v>
      </c>
      <c r="H10" s="4" t="s">
        <v>291</v>
      </c>
      <c r="I10" s="4" t="s">
        <v>292</v>
      </c>
      <c r="J10" s="4" t="s">
        <v>293</v>
      </c>
      <c r="K10" s="4" t="s">
        <v>294</v>
      </c>
      <c r="L10" s="4" t="s">
        <v>295</v>
      </c>
      <c r="M10" s="4" t="s">
        <v>296</v>
      </c>
      <c r="N10" s="4" t="s">
        <v>241</v>
      </c>
    </row>
  </sheetData>
  <pageMargins left="0.75" right="0.75" top="1" bottom="1" header="0.5" footer="0.5"/>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12"/>
  <sheetViews>
    <sheetView zoomScale="90" workbookViewId="0"/>
  </sheetViews>
  <sheetFormatPr defaultRowHeight="14.4" x14ac:dyDescent="0.3"/>
  <cols>
    <col min="1" max="1" width="48" customWidth="1"/>
    <col min="2" max="3" width="12" customWidth="1"/>
  </cols>
  <sheetData>
    <row r="1" spans="1:3" ht="17.399999999999999" x14ac:dyDescent="0.3">
      <c r="A1" s="1" t="s">
        <v>297</v>
      </c>
    </row>
    <row r="3" spans="1:3" x14ac:dyDescent="0.3">
      <c r="A3" s="9" t="s">
        <v>298</v>
      </c>
      <c r="B3" s="9" t="s">
        <v>65</v>
      </c>
      <c r="C3" s="9" t="s">
        <v>299</v>
      </c>
    </row>
    <row r="4" spans="1:3" x14ac:dyDescent="0.3">
      <c r="A4" s="10" t="s">
        <v>300</v>
      </c>
      <c r="B4" s="9">
        <f>COUNTIF(Dashboard!$B$5:$B$10,"Product")</f>
        <v>4</v>
      </c>
      <c r="C4" s="10" t="s">
        <v>284</v>
      </c>
    </row>
    <row r="5" spans="1:3" x14ac:dyDescent="0.3">
      <c r="A5" s="10" t="s">
        <v>301</v>
      </c>
      <c r="B5" s="9">
        <f>COUNTIF(Dashboard!$B$5:$B$10,"Workflow")</f>
        <v>2</v>
      </c>
      <c r="C5" s="10" t="s">
        <v>284</v>
      </c>
    </row>
    <row r="6" spans="1:3" x14ac:dyDescent="0.3">
      <c r="A6" s="10" t="s">
        <v>302</v>
      </c>
      <c r="B6" s="9">
        <f>COUNTBLANK(Dashboard!$G$5:$G$10)</f>
        <v>0</v>
      </c>
      <c r="C6" s="10" t="s">
        <v>281</v>
      </c>
    </row>
    <row r="7" spans="1:3" x14ac:dyDescent="0.3">
      <c r="A7" s="10" t="s">
        <v>303</v>
      </c>
      <c r="B7" s="9">
        <f>COUNTBLANK(Dashboard!$H$5:$H$10)</f>
        <v>0</v>
      </c>
      <c r="C7" s="10" t="s">
        <v>281</v>
      </c>
    </row>
    <row r="8" spans="1:3" x14ac:dyDescent="0.3">
      <c r="A8" s="10" t="s">
        <v>304</v>
      </c>
      <c r="B8" s="9">
        <f>COUNTBLANK(Dashboard!$I$5:$I$10)</f>
        <v>0</v>
      </c>
      <c r="C8" s="10" t="s">
        <v>281</v>
      </c>
    </row>
    <row r="9" spans="1:3" x14ac:dyDescent="0.3">
      <c r="A9" s="10" t="s">
        <v>305</v>
      </c>
      <c r="B9" s="9">
        <f>COUNTBLANK(Dashboard!$K$5:$K$10)</f>
        <v>0</v>
      </c>
      <c r="C9" s="10" t="s">
        <v>281</v>
      </c>
    </row>
    <row r="10" spans="1:3" x14ac:dyDescent="0.3">
      <c r="A10" s="10" t="s">
        <v>306</v>
      </c>
      <c r="B10" s="9">
        <f>COUNTBLANK(Dashboard!$M$5:$M$10)</f>
        <v>0</v>
      </c>
      <c r="C10" s="10" t="s">
        <v>281</v>
      </c>
    </row>
    <row r="11" spans="1:3" x14ac:dyDescent="0.3">
      <c r="A11" s="10" t="s">
        <v>307</v>
      </c>
      <c r="B11" s="9">
        <f>COUNTIF(Dashboard!$D$5:$D$10,"3*")+COUNTIF(Dashboard!$D$5:$D$10,"4*")+COUNTIF(Dashboard!$D$5:$D$10,"5*")</f>
        <v>5</v>
      </c>
      <c r="C11" s="10" t="s">
        <v>308</v>
      </c>
    </row>
    <row r="12" spans="1:3" x14ac:dyDescent="0.3">
      <c r="A12" s="10" t="s">
        <v>309</v>
      </c>
      <c r="B12" s="9">
        <f>COUNTIF(Dashboard!$N$5:$N$10,"Quyết định")</f>
        <v>6</v>
      </c>
      <c r="C12" s="10" t="s">
        <v>90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1_Pham_vi</vt:lpstr>
      <vt:lpstr>2_Chan_doan</vt:lpstr>
      <vt:lpstr>3_Bang_chung</vt:lpstr>
      <vt:lpstr>4_ASIS_TOBE</vt:lpstr>
      <vt:lpstr>5_Lo_trinh_30_60_90</vt:lpstr>
      <vt:lpstr>Dashboard</vt:lpstr>
      <vt:lpstr>8_Kiem_tra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dlvanh1414</cp:lastModifiedBy>
  <dcterms:created xsi:type="dcterms:W3CDTF">2026-10-14T05:44:33Z</dcterms:created>
  <dcterms:modified xsi:type="dcterms:W3CDTF">2026-10-14T05:45:01Z</dcterms:modified>
</cp:coreProperties>
</file>